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uide" sheetId="1" state="visible" r:id="rId3"/>
    <sheet name="Answers" sheetId="2" state="visible" r:id="rId4"/>
  </sheets>
  <definedNames>
    <definedName function="false" hidden="true" localSheetId="1" name="_xlnm._FilterDatabase" vbProcedure="false">Answers!$A$1:$I$25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<sst xmlns="http://schemas.openxmlformats.org/spreadsheetml/2006/main" count="231" uniqueCount="181">
  <si>
    <t xml:space="preserve">Linux Day 1: Team Workflow</t>
  </si>
  <si>
    <t xml:space="preserve">Workflow</t>
  </si>
  <si>
    <t xml:space="preserve">1. Ask AI &gt; 2. Predict &gt; 3. Test &gt; 4. Compare &gt; 5. Validate &gt; 6. Present</t>
  </si>
  <si>
    <t xml:space="preserve">Legend</t>
  </si>
  <si>
    <t xml:space="preserve">Yellow cells</t>
  </si>
  <si>
    <t xml:space="preserve">Team fills these in: Our Prediction, Actual Result, AI Correct? (dropdown), Final Learning.</t>
  </si>
  <si>
    <t xml:space="preserve">White cells</t>
  </si>
  <si>
    <t xml:space="preserve">Pre-filled: AI Question, AI Answer, and the suggested Test commands.</t>
  </si>
  <si>
    <t xml:space="preserve">Safety</t>
  </si>
  <si>
    <t xml:space="preserve">Run rm -rf and chmod 777 tests only inside ~/sandbox, never on real folders.</t>
  </si>
  <si>
    <t xml:space="preserve">Example (filled row)</t>
  </si>
  <si>
    <t xml:space="preserve">AI Question</t>
  </si>
  <si>
    <t xml:space="preserve">What does chmod 755 mean?</t>
  </si>
  <si>
    <t xml:space="preserve">AI Answer</t>
  </si>
  <si>
    <t xml:space="preserve">Owner rwx, group and others r-x</t>
  </si>
  <si>
    <t xml:space="preserve">Our Prediction</t>
  </si>
  <si>
    <t xml:space="preserve">Others can read and run but not edit</t>
  </si>
  <si>
    <t xml:space="preserve">Test</t>
  </si>
  <si>
    <t xml:space="preserve">chmod 755 demo.sh &amp;&amp; ls -l demo.sh</t>
  </si>
  <si>
    <t xml:space="preserve">Actual Result</t>
  </si>
  <si>
    <t xml:space="preserve">Showed -rwxr-xr-x</t>
  </si>
  <si>
    <t xml:space="preserve">AI Correct?</t>
  </si>
  <si>
    <t xml:space="preserve">Yes</t>
  </si>
  <si>
    <t xml:space="preserve">Final Learning</t>
  </si>
  <si>
    <t xml:space="preserve">Each digit is the sum of r=4, w=2, x=1 per class</t>
  </si>
  <si>
    <t xml:space="preserve">Results summary</t>
  </si>
  <si>
    <t xml:space="preserve">AI Correct: Yes</t>
  </si>
  <si>
    <t xml:space="preserve">AI Correct: No</t>
  </si>
  <si>
    <t xml:space="preserve">AI Correct: Partially</t>
  </si>
  <si>
    <t xml:space="preserve">Not yet tested</t>
  </si>
  <si>
    <t xml:space="preserve">#</t>
  </si>
  <si>
    <t xml:space="preserve">Topic</t>
  </si>
  <si>
    <t xml:space="preserve">Test (command)</t>
  </si>
  <si>
    <t xml:space="preserve">File System</t>
  </si>
  <si>
    <t xml:space="preserve">What is the purpose of /etc?</t>
  </si>
  <si>
    <t xml:space="preserve">Stores system-wide configuration files: user accounts (/etc/passwd), filesystems mounted at boot (/etc/fstab), hostname and network settings, and service configs such as /etc/ssh/sshd_config. Mostly plain text, edited with sudo.</t>
  </si>
  <si>
    <t xml:space="preserve">Config files for the whole system live here (users, fstab, hostname, ssh config).</t>
  </si>
  <si>
    <t xml:space="preserve">ls /etc | head
cat /etc/hostname</t>
  </si>
  <si>
    <t xml:space="preserve">Listed items like passwd, fstab, hostname, ssh/, hosts. hostname printed the machine name (e.g. ubuntu).</t>
  </si>
  <si>
    <t xml:space="preserve">/etc = system-wide configuration, mostly plain text; edit with sudo and back up before changing.</t>
  </si>
  <si>
    <t xml:space="preserve">What is /var used for?</t>
  </si>
  <si>
    <t xml:space="preserve">Holds variable data that changes while the system runs: logs (/var/log), application data and databases (/var/lib), caches (/var/cache), and mail/print queues (/var/spool).</t>
  </si>
  <si>
    <t xml:space="preserve">Logs, databases and caches that grow and change while the system runs.</t>
  </si>
  <si>
    <t xml:space="preserve">ls /var
ls -lt /var/log | head</t>
  </si>
  <si>
    <t xml:space="preserve">ls /var showed log, lib, cache, spool, tmp. Newest log files (syslog, auth.log, dpkg.log) appeared first in /var/log.</t>
  </si>
  <si>
    <t xml:space="preserve">/var = variable data. Day-to-day changing files (logs, spools, app data) live here, not in /usr or /etc.</t>
  </si>
  <si>
    <t xml:space="preserve">What is /home used for?</t>
  </si>
  <si>
    <t xml:space="preserve">Holds each user's personal files and settings, e.g. /home/alice: documents, downloads, and hidden config files such as ~/.bashrc.</t>
  </si>
  <si>
    <t xml:space="preserve">Each user's personal folder with documents and hidden dotfiles.</t>
  </si>
  <si>
    <t xml:space="preserve">ls /home
echo $HOME
ls -a ~</t>
  </si>
  <si>
    <t xml:space="preserve">/home listed the user folder(s); echo $HOME printed /home/&lt;username&gt;; ls -a ~ showed .bashrc, .profile, .config, plus Documents, Downloads.</t>
  </si>
  <si>
    <t xml:space="preserve">Partially</t>
  </si>
  <si>
    <t xml:space="preserve">/home is for regular users, but root's home is /root and service accounts may have other homes. Hidden settings are dotfiles (ls -a).</t>
  </si>
  <si>
    <t xml:space="preserve">What is /tmp used for?</t>
  </si>
  <si>
    <t xml:space="preserve">Temporary files created by users and programs. World-writable and often cleared on reboot, so nothing important should be stored there.</t>
  </si>
  <si>
    <t xml:space="preserve">A scratch folder for temporary files; anyone can write, and it may be wiped on reboot.</t>
  </si>
  <si>
    <t xml:space="preserve">touch /tmp/test.txt
ls -l /tmp</t>
  </si>
  <si>
    <t xml:space="preserve">test.txt was created. ls -l /tmp showed drwxrwxrwt (note the t = sticky bit) and test.txt owned by me.</t>
  </si>
  <si>
    <t xml:space="preserve">Never keep important data in /tmp. It is world-writable with a sticky bit, so users can only delete their own files.</t>
  </si>
  <si>
    <t xml:space="preserve">What is /usr used for?</t>
  </si>
  <si>
    <t xml:space="preserve">Most installed software and shared resources: programs (/usr/bin), admin tools (/usr/sbin), libraries (/usr/lib), docs and data (/usr/share). /usr/local is for software installed manually.</t>
  </si>
  <si>
    <t xml:space="preserve">Installed programs, libraries and shared data.</t>
  </si>
  <si>
    <t xml:space="preserve">ls /usr
ls /usr/bin | head</t>
  </si>
  <si>
    <t xml:space="preserve">ls /usr showed bin, sbin, lib, share, include, local. /usr/bin listed many commands (awk, bash tools, python3...).</t>
  </si>
  <si>
    <t xml:space="preserve">/usr = installed software; /usr/bin for user commands, /usr/local for manually installed software.</t>
  </si>
  <si>
    <t xml:space="preserve">CHALLENGE: If an application is generating log files, which Linux directory would you normally investigate first, and why?</t>
  </si>
  <si>
    <t xml:space="preserve">/var/log. By convention /var holds data that changes over time, and /var/log is the standard place for system and application logs (apps often make a subfolder, e.g. /var/log/nginx/). If nothing is there, check journalctl for systemd services, or the app config in /etc for a custom log path.</t>
  </si>
  <si>
    <t xml:space="preserve">/var/log, because logs are variable data.</t>
  </si>
  <si>
    <t xml:space="preserve">ls -lt /var/log | head
journalctl -n 20</t>
  </si>
  <si>
    <t xml:space="preserve">Logs were listed newest-first in /var/log. journalctl -n 20 printed the last 20 journal entries.</t>
  </si>
  <si>
    <t xml:space="preserve">Check /var/log first, then journalctl for systemd services, then the app's config under /etc for a custom log path.</t>
  </si>
  <si>
    <t xml:space="preserve">Commands</t>
  </si>
  <si>
    <t xml:space="preserve">What does pwd do?</t>
  </si>
  <si>
    <t xml:space="preserve">Prints the current working directory (the full path of where you are in the filesystem).</t>
  </si>
  <si>
    <t xml:space="preserve">Prints the current directory path.</t>
  </si>
  <si>
    <t xml:space="preserve">pwd</t>
  </si>
  <si>
    <t xml:space="preserve">Printed a full path such as /home/&lt;username&gt;.</t>
  </si>
  <si>
    <t xml:space="preserve">pwd shows exactly where you are. Run it before any destructive command.</t>
  </si>
  <si>
    <t xml:space="preserve">Difference between ls and ls -la?</t>
  </si>
  <si>
    <t xml:space="preserve">ls lists visible file names only. ls -la shows all files including hidden ones (-a) in long format (-l): permissions, owner, group, size, and modified date.</t>
  </si>
  <si>
    <t xml:space="preserve">ls shows only visible names; ls -la shows hidden files and details.</t>
  </si>
  <si>
    <t xml:space="preserve">ls
ls -la</t>
  </si>
  <si>
    <t xml:space="preserve">ls showed names only. ls -la added . and .. entries, hidden files like .bashrc, permissions, owner, size and date.</t>
  </si>
  <si>
    <t xml:space="preserve">-a includes hidden (dot) files and -l gives long format. Combine them as -la.</t>
  </si>
  <si>
    <t xml:space="preserve">What does cd do?</t>
  </si>
  <si>
    <t xml:space="preserve">Changes the current directory. cd ~ goes home, cd .. goes up one level, cd - returns to the previous directory.</t>
  </si>
  <si>
    <t xml:space="preserve">Moves into /tmp, then home, then back to /tmp.</t>
  </si>
  <si>
    <t xml:space="preserve">cd /tmp
pwd
cd ~
cd -</t>
  </si>
  <si>
    <t xml:space="preserve">pwd printed /tmp after cd /tmp; cd ~ went home; cd - returned to /tmp and printed it.</t>
  </si>
  <si>
    <t xml:space="preserve">cd changes directory. ~ is home, .. is parent, - is previous directory.</t>
  </si>
  <si>
    <t xml:space="preserve">What does mkdir do?</t>
  </si>
  <si>
    <t xml:space="preserve">Creates a new directory. mkdir -p a/b/c creates nested directories in one go.</t>
  </si>
  <si>
    <t xml:space="preserve">Creates nested folders a/b inside sandbox.</t>
  </si>
  <si>
    <t xml:space="preserve">mkdir -p ~/sandbox/a/b
ls -R ~/sandbox</t>
  </si>
  <si>
    <t xml:space="preserve">No error. ls -R showed ~/sandbox: a, then a: b, then a/b: (empty).</t>
  </si>
  <si>
    <t xml:space="preserve">mkdir -p creates the whole path at once and does not fail if folders already exist.</t>
  </si>
  <si>
    <t xml:space="preserve">What does rm do?</t>
  </si>
  <si>
    <t xml:space="preserve">Removes (deletes) files. There is no recycle bin, so deletion is permanent. Use -r to remove directories.</t>
  </si>
  <si>
    <t xml:space="preserve">The file is deleted permanently and ls shows nothing.</t>
  </si>
  <si>
    <t xml:space="preserve">touch ~/sandbox/x.txt
rm ~/sandbox/x.txt
ls ~/sandbox</t>
  </si>
  <si>
    <t xml:space="preserve">x.txt was created, rm removed it silently, and ls ~/sandbox no longer listed x.txt.</t>
  </si>
  <si>
    <t xml:space="preserve">rm gives no confirmation and no recycle bin. Use rm -i when unsure.</t>
  </si>
  <si>
    <t xml:space="preserve">CHALLENGE: What happens if I execute rm -rf? Why is it dangerous?</t>
  </si>
  <si>
    <t xml:space="preserve">Recursively (-r) and forcefully (-f) deletes the target with no prompts and no undo. Dangerous because a typo or stray space can delete the wrong path, an empty variable in a script can become rm -rf /*, wildcards can wipe the wrong directory, and with sudo even system files are removed. Safer: check with ls and pwd first, use rm -ri / rm -rI, or a trash tool.</t>
  </si>
  <si>
    <t xml:space="preserve">The dummy folder and everything in it is deleted instantly with no prompt.</t>
  </si>
  <si>
    <t xml:space="preserve">SANDBOX ONLY:
mkdir -p ~/sandbox/dummy/sub
touch ~/sandbox/dummy/f
rm -rf ~/sandbox/dummy
ls ~/sandbox</t>
  </si>
  <si>
    <t xml:space="preserve">dummy and its contents (sub, f) were gone; ls ~/sandbox no longer showed dummy. No warning appeared.</t>
  </si>
  <si>
    <t xml:space="preserve">rm -rf is permanent and silent. Check pwd/ls first, avoid stray spaces and unset variables, and prefer rm -ri.</t>
  </si>
  <si>
    <t xml:space="preserve">Permissions</t>
  </si>
  <si>
    <t xml:space="preserve">What does rwx mean?</t>
  </si>
  <si>
    <t xml:space="preserve">r = read (4), w = write (2), x = execute (1). For directories, x means you can enter/traverse it.</t>
  </si>
  <si>
    <t xml:space="preserve">r=read, w=write, x=execute.</t>
  </si>
  <si>
    <t xml:space="preserve">touch demo.sh
ls -l demo.sh</t>
  </si>
  <si>
    <t xml:space="preserve">ls -l showed something like -rw-r--r-- demo.sh (new files get no x by default).</t>
  </si>
  <si>
    <t xml:space="preserve">rwx = 4+2+1. For directories, x means you can enter them.</t>
  </si>
  <si>
    <t xml:space="preserve">What are owner, group and others?</t>
  </si>
  <si>
    <t xml:space="preserve">Three permission classes: the file's owner (user), members of the file's group, and everyone else (others). In -rwxr-xr-- the three triplets are owner, group, others.</t>
  </si>
  <si>
    <t xml:space="preserve">Three groups who get separate permissions.</t>
  </si>
  <si>
    <t xml:space="preserve">ls -l demo.sh
id</t>
  </si>
  <si>
    <t xml:space="preserve">ls -l showed owner and group names on the file; id showed my uid, gid and groups, matching them.</t>
  </si>
  <si>
    <t xml:space="preserve">Permissions are split into user (owner), group, others, in that order: e.g. rwx r-x r--.</t>
  </si>
  <si>
    <t xml:space="preserve">Owner rwx (7), group r-x (5), others r-x (5). Common for scripts and directories: everyone can read and run, only the owner can modify.</t>
  </si>
  <si>
    <t xml:space="preserve">Owner can read/write/run; everyone else can read and run.</t>
  </si>
  <si>
    <t xml:space="preserve">chmod 755 demo.sh
ls -l demo.sh</t>
  </si>
  <si>
    <t xml:space="preserve">Showed -rwxr-xr-x demo.sh.</t>
  </si>
  <si>
    <t xml:space="preserve">755 = rwx r-x r-x. Standard for scripts and directories.</t>
  </si>
  <si>
    <t xml:space="preserve">What does chmod 644 mean?</t>
  </si>
  <si>
    <t xml:space="preserve">Owner rw- (6), group r-- (4), others r-- (4). Common for regular files: owner can edit, everyone else can only read.</t>
  </si>
  <si>
    <t xml:space="preserve">Owner can read/write; others only read.</t>
  </si>
  <si>
    <t xml:space="preserve">chmod 644 demo.sh
ls -l demo.sh</t>
  </si>
  <si>
    <t xml:space="preserve">Showed -rw-r--r-- demo.sh.</t>
  </si>
  <si>
    <t xml:space="preserve">644 = rw- r-- r--. Standard for normal files.</t>
  </si>
  <si>
    <t xml:space="preserve">Why is chmod 777 generally discouraged?</t>
  </si>
  <si>
    <t xml:space="preserve">It gives everyone read, write and execute. Any user or compromised process can modify or replace the file, which is a security risk, and it hides the real cause of the problem instead of fixing it.</t>
  </si>
  <si>
    <t xml:space="preserve">Everyone gets full access. It works but is unsafe.</t>
  </si>
  <si>
    <t xml:space="preserve">chmod 777 demo.sh
ls -l demo.sh   (sandbox only)</t>
  </si>
  <si>
    <t xml:space="preserve">Showed -rwxrwxrwx demo.sh. Any user could now edit or run it.</t>
  </si>
  <si>
    <t xml:space="preserve">777 is a security risk and masks the real problem. Grant only the access needed.</t>
  </si>
  <si>
    <t xml:space="preserve">CHALLENGE: Is chmod 777 always required when a user gets "Permission denied"?</t>
  </si>
  <si>
    <t xml:space="preserve">No, almost never. Check ls -l and the parent directories (x needed on each), identify who needs what access, then grant the minimum (chmod u+x, chmod 640, chown user:group). Other causes: wrong user, sudo needed, SELinux/AppArmor, or a read-only filesystem.</t>
  </si>
  <si>
    <t xml:space="preserve">No. Adding execute for the owner is enough.</t>
  </si>
  <si>
    <t xml:space="preserve">echo 'echo hi' &gt; run.sh
./run.sh   (Permission denied)
chmod u+x run.sh
./run.sh</t>
  </si>
  <si>
    <t xml:space="preserve">./run.sh gave 'Permission denied'. After chmod u+x, ./run.sh printed hi.</t>
  </si>
  <si>
    <t xml:space="preserve">Fix the specific missing permission (u+x, 640, chown) instead of 777. Also check parent directories, sudo and SELinux/AppArmor.</t>
  </si>
  <si>
    <t xml:space="preserve">Processes</t>
  </si>
  <si>
    <t xml:space="preserve">What is a Linux process?</t>
  </si>
  <si>
    <t xml:space="preserve">A running instance of a program, with its own PID, memory, owner and state.</t>
  </si>
  <si>
    <t xml:space="preserve">A running program with its own PID.</t>
  </si>
  <si>
    <t xml:space="preserve">echo $$
ps -p $$</t>
  </si>
  <si>
    <t xml:space="preserve">echo $$ printed a number (e.g. 4321); ps -p $$ showed that PID with bash.</t>
  </si>
  <si>
    <t xml:space="preserve">A process is a running instance of a program with a PID, owner, memory and state. $$ is the shell's own PID.</t>
  </si>
  <si>
    <t xml:space="preserve">What does ps show?</t>
  </si>
  <si>
    <t xml:space="preserve">A snapshot of the processes in the current terminal session: PID, TTY, CPU time, and command.</t>
  </si>
  <si>
    <t xml:space="preserve">Only a few processes from my terminal: bash and ps.</t>
  </si>
  <si>
    <t xml:space="preserve">ps</t>
  </si>
  <si>
    <t xml:space="preserve">Showed a short table with PID TTY TIME CMD listing bash and ps.</t>
  </si>
  <si>
    <t xml:space="preserve">Plain ps is limited to the current terminal session. Use ps aux for the whole system.</t>
  </si>
  <si>
    <t xml:space="preserve">What does ps aux show?</t>
  </si>
  <si>
    <t xml:space="preserve">All processes from all users with detail: user, PID, %CPU, %MEM, state, start time, and full command.</t>
  </si>
  <si>
    <t xml:space="preserve">A long list of every process on the system with CPU/MEM columns.</t>
  </si>
  <si>
    <t xml:space="preserve">ps aux | head</t>
  </si>
  <si>
    <t xml:space="preserve">Header USER PID %CPU %MEM VSZ RSS TTY STAT START TIME COMMAND, then systemd/init as PID 1 and many more.</t>
  </si>
  <si>
    <t xml:space="preserve">ps aux = all users' processes with detail. Pipe to head, grep or sort to manage the output.</t>
  </si>
  <si>
    <t xml:space="preserve">What does top do?</t>
  </si>
  <si>
    <t xml:space="preserve">Shows a live, auto-refreshing view of running processes and system load (load average, CPU, memory, swap), sorted by CPU by default. Press q to quit.</t>
  </si>
  <si>
    <t xml:space="preserve">A live updating screen of processes and system load.</t>
  </si>
  <si>
    <t xml:space="preserve">top   (press q to quit)</t>
  </si>
  <si>
    <t xml:space="preserve">Full-screen display with load average, CPU, memory and swap lines, refreshing every ~3s. Pressing q exited.</t>
  </si>
  <si>
    <t xml:space="preserve">top is a live monitor; q quits; the default sort is by CPU.</t>
  </si>
  <si>
    <t xml:space="preserve">Why would a developer investigate processes?</t>
  </si>
  <si>
    <t xml:space="preserve">To find what is using CPU or memory, confirm a service is running, spot hung or zombie processes, get a PID to stop, or debug unexpected behaviour.</t>
  </si>
  <si>
    <t xml:space="preserve">To find what is eating CPU/memory or check a service is running.</t>
  </si>
  <si>
    <t xml:space="preserve">ps aux --sort=-%cpu | head -5</t>
  </si>
  <si>
    <t xml:space="preserve">Header plus 4 rows showing the top CPU consumers (e.g. snapd, python, chrome) with %CPU.</t>
  </si>
  <si>
    <t xml:space="preserve">Process inspection helps find resource hogs, confirm services, spot zombies and get PIDs to kill.</t>
  </si>
  <si>
    <t xml:space="preserve">CHALLENGE: If an application is running slowly, can top help investigate the problem?</t>
  </si>
  <si>
    <t xml:space="preserve">Yes, as a starting point. top shows load average, CPU split (us/sy/wa/id), memory and swap use, task counts, and per-process %CPU, %MEM, state and PID, so you can spot the culprit. It cannot explain why the app is slow (bad query, code bug, network latency). For that use app logs, iostat/vmstat, ss, strace or profilers.</t>
  </si>
  <si>
    <t xml:space="preserve">Yes, yes will show near 100% CPU at the top.</t>
  </si>
  <si>
    <t xml:space="preserve">yes &gt; /dev/null &amp;
top   (find 'yes' near 100% CPU)
kill %1</t>
  </si>
  <si>
    <t xml:space="preserve">top showed 'yes' at the top with ~100% CPU. kill %1 stopped it.</t>
  </si>
  <si>
    <t xml:space="preserve">top shows what is slow (CPU, memory, load) but not why. Use logs, iostat/vmstat, strace or profilers for root cause.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</si>
</sst>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80"/>
  </cols>
  <sheetData>
    <row r="1" customFormat="false" ht="26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3" t="s">
        <v>2</v>
      </c>
    </row>
    <row r="4" customFormat="false" ht="15" hidden="false" customHeight="true" outlineLevel="0" collapsed="false">
      <c r="A4" s="2" t="s">
        <v>3</v>
      </c>
    </row>
    <row r="5" customFormat="false" ht="15" hidden="false" customHeight="true" outlineLevel="0" collapsed="false">
      <c r="A5" s="4" t="s">
        <v>4</v>
      </c>
      <c r="B5" s="3" t="s">
        <v>5</v>
      </c>
    </row>
    <row r="6" customFormat="false" ht="15" hidden="false" customHeight="true" outlineLevel="0" collapsed="false">
      <c r="A6" s="3" t="s">
        <v>6</v>
      </c>
      <c r="B6" s="3" t="s">
        <v>7</v>
      </c>
    </row>
    <row r="7" customFormat="false" ht="15" hidden="false" customHeight="true" outlineLevel="0" collapsed="false">
      <c r="A7" s="3" t="s">
        <v>8</v>
      </c>
      <c r="B7" s="3" t="s">
        <v>9</v>
      </c>
    </row>
    <row r="9" customFormat="false" ht="15" hidden="false" customHeight="true" outlineLevel="0" collapsed="false">
      <c r="A9" s="2" t="s">
        <v>10</v>
      </c>
    </row>
    <row r="10" customFormat="false" ht="15" hidden="false" customHeight="true" outlineLevel="0" collapsed="false">
      <c r="A10" s="5" t="s">
        <v>11</v>
      </c>
      <c r="B10" s="3" t="s">
        <v>12</v>
      </c>
    </row>
    <row r="11" customFormat="false" ht="15" hidden="false" customHeight="true" outlineLevel="0" collapsed="false">
      <c r="A11" s="5" t="s">
        <v>13</v>
      </c>
      <c r="B11" s="3" t="s">
        <v>14</v>
      </c>
    </row>
    <row r="12" customFormat="false" ht="15" hidden="false" customHeight="true" outlineLevel="0" collapsed="false">
      <c r="A12" s="5" t="s">
        <v>15</v>
      </c>
      <c r="B12" s="3" t="s">
        <v>16</v>
      </c>
    </row>
    <row r="13" customFormat="false" ht="15" hidden="false" customHeight="true" outlineLevel="0" collapsed="false">
      <c r="A13" s="5" t="s">
        <v>17</v>
      </c>
      <c r="B13" s="3" t="s">
        <v>18</v>
      </c>
    </row>
    <row r="14" customFormat="false" ht="15" hidden="false" customHeight="true" outlineLevel="0" collapsed="false">
      <c r="A14" s="5" t="s">
        <v>19</v>
      </c>
      <c r="B14" s="3" t="s">
        <v>20</v>
      </c>
    </row>
    <row r="15" customFormat="false" ht="15" hidden="false" customHeight="true" outlineLevel="0" collapsed="false">
      <c r="A15" s="5" t="s">
        <v>21</v>
      </c>
      <c r="B15" s="3" t="s">
        <v>22</v>
      </c>
    </row>
    <row r="16" customFormat="false" ht="15" hidden="false" customHeight="true" outlineLevel="0" collapsed="false">
      <c r="A16" s="5" t="s">
        <v>23</v>
      </c>
      <c r="B16" s="3" t="s">
        <v>24</v>
      </c>
    </row>
    <row r="18" customFormat="false" ht="15" hidden="false" customHeight="true" outlineLevel="0" collapsed="false">
      <c r="A18" s="2" t="s">
        <v>25</v>
      </c>
    </row>
    <row r="19" customFormat="false" ht="15" hidden="false" customHeight="true" outlineLevel="0" collapsed="false">
      <c r="A19" s="5" t="s">
        <v>26</v>
      </c>
      <c r="B19" s="6" t="n">
        <f aca="false">COUNTIF(Answers!$H$2:$H$25,"Yes")</f>
        <v>23</v>
      </c>
    </row>
    <row r="20" customFormat="false" ht="15" hidden="false" customHeight="true" outlineLevel="0" collapsed="false">
      <c r="A20" s="5" t="s">
        <v>27</v>
      </c>
      <c r="B20" s="6" t="n">
        <f aca="false">COUNTIF(Answers!$H$2:$H$25,"No")</f>
        <v>0</v>
      </c>
    </row>
    <row r="21" customFormat="false" ht="15" hidden="false" customHeight="true" outlineLevel="0" collapsed="false">
      <c r="A21" s="5" t="s">
        <v>28</v>
      </c>
      <c r="B21" s="6" t="n">
        <f aca="false">COUNTIF(Answers!$H$2:$H$25,"Partially")</f>
        <v>1</v>
      </c>
    </row>
    <row r="22" customFormat="false" ht="15" hidden="false" customHeight="true" outlineLevel="0" collapsed="false">
      <c r="A22" s="5" t="s">
        <v>29</v>
      </c>
      <c r="B22" s="6" t="n">
        <f aca="false">COUNTA(Answers!$C$2:$C$25)-SUM(B19:B21)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38"/>
    <col collapsed="false" customWidth="true" hidden="false" outlineLevel="0" max="4" min="4" style="1" width="62"/>
    <col collapsed="false" customWidth="true" hidden="false" outlineLevel="0" max="5" min="5" style="1" width="28"/>
    <col collapsed="false" customWidth="true" hidden="false" outlineLevel="0" max="6" min="6" style="1" width="34"/>
    <col collapsed="false" customWidth="true" hidden="false" outlineLevel="0" max="7" min="7" style="1" width="28"/>
    <col collapsed="false" customWidth="true" hidden="false" outlineLevel="0" max="8" min="8" style="1" width="13"/>
    <col collapsed="false" customWidth="true" hidden="false" outlineLevel="0" max="9" min="9" style="1" width="30"/>
  </cols>
  <sheetData>
    <row r="1" customFormat="false" ht="24" hidden="false" customHeight="true" outlineLevel="0" collapsed="false">
      <c r="A1" s="7" t="s">
        <v>30</v>
      </c>
      <c r="B1" s="7" t="s">
        <v>31</v>
      </c>
      <c r="C1" s="7" t="s">
        <v>11</v>
      </c>
      <c r="D1" s="7" t="s">
        <v>13</v>
      </c>
      <c r="E1" s="7" t="s">
        <v>15</v>
      </c>
      <c r="F1" s="7" t="s">
        <v>32</v>
      </c>
      <c r="G1" s="7" t="s">
        <v>19</v>
      </c>
      <c r="H1" s="7" t="s">
        <v>21</v>
      </c>
      <c r="I1" s="7" t="s">
        <v>23</v>
      </c>
    </row>
    <row r="2" customFormat="false" ht="54" hidden="false" customHeight="true" outlineLevel="0" collapsed="false">
      <c r="A2" s="8" t="n">
        <v>1</v>
      </c>
      <c r="B2" s="9" t="s">
        <v>33</v>
      </c>
      <c r="C2" s="10" t="s">
        <v>34</v>
      </c>
      <c r="D2" s="10" t="s">
        <v>35</v>
      </c>
      <c r="E2" s="11" t="s">
        <v>36</v>
      </c>
      <c r="F2" s="12" t="s">
        <v>37</v>
      </c>
      <c r="G2" s="11" t="s">
        <v>38</v>
      </c>
      <c r="H2" s="13" t="s">
        <v>22</v>
      </c>
      <c r="I2" s="11" t="s">
        <v>39</v>
      </c>
    </row>
    <row r="3" customFormat="false" ht="40.5" hidden="false" customHeight="true" outlineLevel="0" collapsed="false">
      <c r="A3" s="8" t="n">
        <v>2</v>
      </c>
      <c r="B3" s="9" t="s">
        <v>33</v>
      </c>
      <c r="C3" s="10" t="s">
        <v>40</v>
      </c>
      <c r="D3" s="10" t="s">
        <v>41</v>
      </c>
      <c r="E3" s="11" t="s">
        <v>42</v>
      </c>
      <c r="F3" s="12" t="s">
        <v>43</v>
      </c>
      <c r="G3" s="11" t="s">
        <v>44</v>
      </c>
      <c r="H3" s="13" t="s">
        <v>22</v>
      </c>
      <c r="I3" s="11" t="s">
        <v>45</v>
      </c>
    </row>
    <row r="4" customFormat="false" ht="54" hidden="false" customHeight="true" outlineLevel="0" collapsed="false">
      <c r="A4" s="8" t="n">
        <v>3</v>
      </c>
      <c r="B4" s="9" t="s">
        <v>33</v>
      </c>
      <c r="C4" s="10" t="s">
        <v>46</v>
      </c>
      <c r="D4" s="10" t="s">
        <v>47</v>
      </c>
      <c r="E4" s="11" t="s">
        <v>48</v>
      </c>
      <c r="F4" s="12" t="s">
        <v>49</v>
      </c>
      <c r="G4" s="11" t="s">
        <v>50</v>
      </c>
      <c r="H4" s="13" t="s">
        <v>51</v>
      </c>
      <c r="I4" s="11" t="s">
        <v>52</v>
      </c>
    </row>
    <row r="5" customFormat="false" ht="40.5" hidden="false" customHeight="true" outlineLevel="0" collapsed="false">
      <c r="A5" s="8" t="n">
        <v>4</v>
      </c>
      <c r="B5" s="9" t="s">
        <v>33</v>
      </c>
      <c r="C5" s="10" t="s">
        <v>53</v>
      </c>
      <c r="D5" s="10" t="s">
        <v>54</v>
      </c>
      <c r="E5" s="11" t="s">
        <v>55</v>
      </c>
      <c r="F5" s="12" t="s">
        <v>56</v>
      </c>
      <c r="G5" s="11" t="s">
        <v>57</v>
      </c>
      <c r="H5" s="13" t="s">
        <v>22</v>
      </c>
      <c r="I5" s="11" t="s">
        <v>58</v>
      </c>
    </row>
    <row r="6" customFormat="false" ht="54" hidden="false" customHeight="true" outlineLevel="0" collapsed="false">
      <c r="A6" s="8" t="n">
        <v>5</v>
      </c>
      <c r="B6" s="9" t="s">
        <v>33</v>
      </c>
      <c r="C6" s="10" t="s">
        <v>59</v>
      </c>
      <c r="D6" s="10" t="s">
        <v>60</v>
      </c>
      <c r="E6" s="11" t="s">
        <v>61</v>
      </c>
      <c r="F6" s="12" t="s">
        <v>62</v>
      </c>
      <c r="G6" s="11" t="s">
        <v>63</v>
      </c>
      <c r="H6" s="13" t="s">
        <v>22</v>
      </c>
      <c r="I6" s="11" t="s">
        <v>64</v>
      </c>
    </row>
    <row r="7" customFormat="false" ht="67.5" hidden="false" customHeight="true" outlineLevel="0" collapsed="false">
      <c r="A7" s="8" t="n">
        <v>6</v>
      </c>
      <c r="B7" s="9" t="s">
        <v>33</v>
      </c>
      <c r="C7" s="14" t="s">
        <v>65</v>
      </c>
      <c r="D7" s="10" t="s">
        <v>66</v>
      </c>
      <c r="E7" s="11" t="s">
        <v>67</v>
      </c>
      <c r="F7" s="12" t="s">
        <v>68</v>
      </c>
      <c r="G7" s="11" t="s">
        <v>69</v>
      </c>
      <c r="H7" s="13" t="s">
        <v>22</v>
      </c>
      <c r="I7" s="11" t="s">
        <v>70</v>
      </c>
    </row>
    <row r="8" customFormat="false" ht="30" hidden="false" customHeight="true" outlineLevel="0" collapsed="false">
      <c r="A8" s="8" t="n">
        <v>7</v>
      </c>
      <c r="B8" s="15" t="s">
        <v>71</v>
      </c>
      <c r="C8" s="10" t="s">
        <v>72</v>
      </c>
      <c r="D8" s="10" t="s">
        <v>73</v>
      </c>
      <c r="E8" s="11" t="s">
        <v>74</v>
      </c>
      <c r="F8" s="12" t="s">
        <v>75</v>
      </c>
      <c r="G8" s="11" t="s">
        <v>76</v>
      </c>
      <c r="H8" s="13" t="s">
        <v>22</v>
      </c>
      <c r="I8" s="11" t="s">
        <v>77</v>
      </c>
    </row>
    <row r="9" customFormat="false" ht="40.5" hidden="false" customHeight="true" outlineLevel="0" collapsed="false">
      <c r="A9" s="8" t="n">
        <v>8</v>
      </c>
      <c r="B9" s="15" t="s">
        <v>71</v>
      </c>
      <c r="C9" s="10" t="s">
        <v>78</v>
      </c>
      <c r="D9" s="10" t="s">
        <v>79</v>
      </c>
      <c r="E9" s="11" t="s">
        <v>80</v>
      </c>
      <c r="F9" s="12" t="s">
        <v>81</v>
      </c>
      <c r="G9" s="11" t="s">
        <v>82</v>
      </c>
      <c r="H9" s="13" t="s">
        <v>22</v>
      </c>
      <c r="I9" s="11" t="s">
        <v>83</v>
      </c>
    </row>
    <row r="10" customFormat="false" ht="67.5" hidden="false" customHeight="true" outlineLevel="0" collapsed="false">
      <c r="A10" s="8" t="n">
        <v>9</v>
      </c>
      <c r="B10" s="15" t="s">
        <v>71</v>
      </c>
      <c r="C10" s="10" t="s">
        <v>84</v>
      </c>
      <c r="D10" s="10" t="s">
        <v>85</v>
      </c>
      <c r="E10" s="11" t="s">
        <v>86</v>
      </c>
      <c r="F10" s="12" t="s">
        <v>87</v>
      </c>
      <c r="G10" s="11" t="s">
        <v>88</v>
      </c>
      <c r="H10" s="13" t="s">
        <v>22</v>
      </c>
      <c r="I10" s="11" t="s">
        <v>89</v>
      </c>
    </row>
    <row r="11" customFormat="false" ht="40.5" hidden="false" customHeight="true" outlineLevel="0" collapsed="false">
      <c r="A11" s="8" t="n">
        <v>10</v>
      </c>
      <c r="B11" s="15" t="s">
        <v>71</v>
      </c>
      <c r="C11" s="10" t="s">
        <v>90</v>
      </c>
      <c r="D11" s="10" t="s">
        <v>91</v>
      </c>
      <c r="E11" s="11" t="s">
        <v>92</v>
      </c>
      <c r="F11" s="12" t="s">
        <v>93</v>
      </c>
      <c r="G11" s="11" t="s">
        <v>94</v>
      </c>
      <c r="H11" s="13" t="s">
        <v>22</v>
      </c>
      <c r="I11" s="11" t="s">
        <v>95</v>
      </c>
    </row>
    <row r="12" customFormat="false" ht="54" hidden="false" customHeight="true" outlineLevel="0" collapsed="false">
      <c r="A12" s="8" t="n">
        <v>11</v>
      </c>
      <c r="B12" s="15" t="s">
        <v>71</v>
      </c>
      <c r="C12" s="10" t="s">
        <v>96</v>
      </c>
      <c r="D12" s="10" t="s">
        <v>97</v>
      </c>
      <c r="E12" s="11" t="s">
        <v>98</v>
      </c>
      <c r="F12" s="12" t="s">
        <v>99</v>
      </c>
      <c r="G12" s="11" t="s">
        <v>100</v>
      </c>
      <c r="H12" s="13" t="s">
        <v>22</v>
      </c>
      <c r="I12" s="11" t="s">
        <v>101</v>
      </c>
    </row>
    <row r="13" customFormat="false" ht="81" hidden="false" customHeight="true" outlineLevel="0" collapsed="false">
      <c r="A13" s="8" t="n">
        <v>12</v>
      </c>
      <c r="B13" s="15" t="s">
        <v>71</v>
      </c>
      <c r="C13" s="14" t="s">
        <v>102</v>
      </c>
      <c r="D13" s="10" t="s">
        <v>103</v>
      </c>
      <c r="E13" s="11" t="s">
        <v>104</v>
      </c>
      <c r="F13" s="12" t="s">
        <v>105</v>
      </c>
      <c r="G13" s="11" t="s">
        <v>106</v>
      </c>
      <c r="H13" s="13" t="s">
        <v>22</v>
      </c>
      <c r="I13" s="11" t="s">
        <v>107</v>
      </c>
    </row>
    <row r="14" customFormat="false" ht="40.5" hidden="false" customHeight="true" outlineLevel="0" collapsed="false">
      <c r="A14" s="8" t="n">
        <v>13</v>
      </c>
      <c r="B14" s="16" t="s">
        <v>108</v>
      </c>
      <c r="C14" s="10" t="s">
        <v>109</v>
      </c>
      <c r="D14" s="10" t="s">
        <v>110</v>
      </c>
      <c r="E14" s="11" t="s">
        <v>111</v>
      </c>
      <c r="F14" s="12" t="s">
        <v>112</v>
      </c>
      <c r="G14" s="11" t="s">
        <v>113</v>
      </c>
      <c r="H14" s="13" t="s">
        <v>22</v>
      </c>
      <c r="I14" s="11" t="s">
        <v>114</v>
      </c>
    </row>
    <row r="15" customFormat="false" ht="40.5" hidden="false" customHeight="true" outlineLevel="0" collapsed="false">
      <c r="A15" s="8" t="n">
        <v>14</v>
      </c>
      <c r="B15" s="16" t="s">
        <v>108</v>
      </c>
      <c r="C15" s="10" t="s">
        <v>115</v>
      </c>
      <c r="D15" s="10" t="s">
        <v>116</v>
      </c>
      <c r="E15" s="11" t="s">
        <v>117</v>
      </c>
      <c r="F15" s="12" t="s">
        <v>118</v>
      </c>
      <c r="G15" s="11" t="s">
        <v>119</v>
      </c>
      <c r="H15" s="13" t="s">
        <v>22</v>
      </c>
      <c r="I15" s="11" t="s">
        <v>120</v>
      </c>
    </row>
    <row r="16" customFormat="false" ht="40.5" hidden="false" customHeight="true" outlineLevel="0" collapsed="false">
      <c r="A16" s="8" t="n">
        <v>15</v>
      </c>
      <c r="B16" s="16" t="s">
        <v>108</v>
      </c>
      <c r="C16" s="10" t="s">
        <v>12</v>
      </c>
      <c r="D16" s="10" t="s">
        <v>121</v>
      </c>
      <c r="E16" s="11" t="s">
        <v>122</v>
      </c>
      <c r="F16" s="12" t="s">
        <v>123</v>
      </c>
      <c r="G16" s="11" t="s">
        <v>124</v>
      </c>
      <c r="H16" s="13" t="s">
        <v>22</v>
      </c>
      <c r="I16" s="11" t="s">
        <v>125</v>
      </c>
    </row>
    <row r="17" customFormat="false" ht="40.5" hidden="false" customHeight="true" outlineLevel="0" collapsed="false">
      <c r="A17" s="8" t="n">
        <v>16</v>
      </c>
      <c r="B17" s="16" t="s">
        <v>108</v>
      </c>
      <c r="C17" s="10" t="s">
        <v>126</v>
      </c>
      <c r="D17" s="10" t="s">
        <v>127</v>
      </c>
      <c r="E17" s="11" t="s">
        <v>128</v>
      </c>
      <c r="F17" s="12" t="s">
        <v>129</v>
      </c>
      <c r="G17" s="11" t="s">
        <v>130</v>
      </c>
      <c r="H17" s="13" t="s">
        <v>22</v>
      </c>
      <c r="I17" s="11" t="s">
        <v>131</v>
      </c>
    </row>
    <row r="18" customFormat="false" ht="54" hidden="false" customHeight="true" outlineLevel="0" collapsed="false">
      <c r="A18" s="8" t="n">
        <v>17</v>
      </c>
      <c r="B18" s="16" t="s">
        <v>108</v>
      </c>
      <c r="C18" s="10" t="s">
        <v>132</v>
      </c>
      <c r="D18" s="10" t="s">
        <v>133</v>
      </c>
      <c r="E18" s="11" t="s">
        <v>134</v>
      </c>
      <c r="F18" s="12" t="s">
        <v>135</v>
      </c>
      <c r="G18" s="11" t="s">
        <v>136</v>
      </c>
      <c r="H18" s="13" t="s">
        <v>22</v>
      </c>
      <c r="I18" s="11" t="s">
        <v>137</v>
      </c>
    </row>
    <row r="19" customFormat="false" ht="67.5" hidden="false" customHeight="true" outlineLevel="0" collapsed="false">
      <c r="A19" s="8" t="n">
        <v>18</v>
      </c>
      <c r="B19" s="16" t="s">
        <v>108</v>
      </c>
      <c r="C19" s="14" t="s">
        <v>138</v>
      </c>
      <c r="D19" s="10" t="s">
        <v>139</v>
      </c>
      <c r="E19" s="11" t="s">
        <v>140</v>
      </c>
      <c r="F19" s="12" t="s">
        <v>141</v>
      </c>
      <c r="G19" s="11" t="s">
        <v>142</v>
      </c>
      <c r="H19" s="13" t="s">
        <v>22</v>
      </c>
      <c r="I19" s="11" t="s">
        <v>143</v>
      </c>
    </row>
    <row r="20" customFormat="false" ht="40.5" hidden="false" customHeight="true" outlineLevel="0" collapsed="false">
      <c r="A20" s="8" t="n">
        <v>19</v>
      </c>
      <c r="B20" s="17" t="s">
        <v>144</v>
      </c>
      <c r="C20" s="10" t="s">
        <v>145</v>
      </c>
      <c r="D20" s="10" t="s">
        <v>146</v>
      </c>
      <c r="E20" s="11" t="s">
        <v>147</v>
      </c>
      <c r="F20" s="12" t="s">
        <v>148</v>
      </c>
      <c r="G20" s="11" t="s">
        <v>149</v>
      </c>
      <c r="H20" s="13" t="s">
        <v>22</v>
      </c>
      <c r="I20" s="11" t="s">
        <v>150</v>
      </c>
    </row>
    <row r="21" customFormat="false" ht="30" hidden="false" customHeight="true" outlineLevel="0" collapsed="false">
      <c r="A21" s="8" t="n">
        <v>20</v>
      </c>
      <c r="B21" s="17" t="s">
        <v>144</v>
      </c>
      <c r="C21" s="10" t="s">
        <v>151</v>
      </c>
      <c r="D21" s="10" t="s">
        <v>152</v>
      </c>
      <c r="E21" s="11" t="s">
        <v>153</v>
      </c>
      <c r="F21" s="12" t="s">
        <v>154</v>
      </c>
      <c r="G21" s="11" t="s">
        <v>155</v>
      </c>
      <c r="H21" s="13" t="s">
        <v>22</v>
      </c>
      <c r="I21" s="11" t="s">
        <v>156</v>
      </c>
    </row>
    <row r="22" customFormat="false" ht="30" hidden="false" customHeight="true" outlineLevel="0" collapsed="false">
      <c r="A22" s="8" t="n">
        <v>21</v>
      </c>
      <c r="B22" s="17" t="s">
        <v>144</v>
      </c>
      <c r="C22" s="10" t="s">
        <v>157</v>
      </c>
      <c r="D22" s="10" t="s">
        <v>158</v>
      </c>
      <c r="E22" s="11" t="s">
        <v>159</v>
      </c>
      <c r="F22" s="12" t="s">
        <v>160</v>
      </c>
      <c r="G22" s="11" t="s">
        <v>161</v>
      </c>
      <c r="H22" s="13" t="s">
        <v>22</v>
      </c>
      <c r="I22" s="11" t="s">
        <v>162</v>
      </c>
    </row>
    <row r="23" customFormat="false" ht="40.5" hidden="false" customHeight="true" outlineLevel="0" collapsed="false">
      <c r="A23" s="8" t="n">
        <v>22</v>
      </c>
      <c r="B23" s="17" t="s">
        <v>144</v>
      </c>
      <c r="C23" s="10" t="s">
        <v>163</v>
      </c>
      <c r="D23" s="10" t="s">
        <v>164</v>
      </c>
      <c r="E23" s="11" t="s">
        <v>165</v>
      </c>
      <c r="F23" s="12" t="s">
        <v>166</v>
      </c>
      <c r="G23" s="11" t="s">
        <v>167</v>
      </c>
      <c r="H23" s="13" t="s">
        <v>22</v>
      </c>
      <c r="I23" s="11" t="s">
        <v>168</v>
      </c>
    </row>
    <row r="24" customFormat="false" ht="40.5" hidden="false" customHeight="true" outlineLevel="0" collapsed="false">
      <c r="A24" s="8" t="n">
        <v>23</v>
      </c>
      <c r="B24" s="17" t="s">
        <v>144</v>
      </c>
      <c r="C24" s="10" t="s">
        <v>169</v>
      </c>
      <c r="D24" s="10" t="s">
        <v>170</v>
      </c>
      <c r="E24" s="11" t="s">
        <v>171</v>
      </c>
      <c r="F24" s="12" t="s">
        <v>172</v>
      </c>
      <c r="G24" s="11" t="s">
        <v>173</v>
      </c>
      <c r="H24" s="13" t="s">
        <v>22</v>
      </c>
      <c r="I24" s="11" t="s">
        <v>174</v>
      </c>
    </row>
    <row r="25" customFormat="false" ht="81" hidden="false" customHeight="true" outlineLevel="0" collapsed="false">
      <c r="A25" s="8" t="n">
        <v>24</v>
      </c>
      <c r="B25" s="17" t="s">
        <v>144</v>
      </c>
      <c r="C25" s="14" t="s">
        <v>175</v>
      </c>
      <c r="D25" s="10" t="s">
        <v>176</v>
      </c>
      <c r="E25" s="11" t="s">
        <v>177</v>
      </c>
      <c r="F25" s="12" t="s">
        <v>178</v>
      </c>
      <c r="G25" s="11" t="s">
        <v>179</v>
      </c>
      <c r="H25" s="13" t="s">
        <v>22</v>
      </c>
      <c r="I25" s="11" t="s">
        <v>180</v>
      </c>
    </row>
  </sheetData>
  <autoFilter ref="A1:I25"/>
  <dataValidations count="1">
    <dataValidation allowBlank="true" error="Choose Yes, No or Partially" errorStyle="stop" operator="between" showDropDown="false" showErrorMessage="true" showInputMessage="false" sqref="H2:H25" type="list">
      <formula1>"Yes,No,Partially"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2026-10-09T10:21:56Z</dcterms:created>
  <dc:creator>openpyxl</dc:creator>
  <dc:description/>
  <dc:language>en-US</dc:language>
  <cp:lastModifiedBy/>
  <dcterms:modified xsi:type="dcterms:W3CDTF">2026-10-13T11:45:49Z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